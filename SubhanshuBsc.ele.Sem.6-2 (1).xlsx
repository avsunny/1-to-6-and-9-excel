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E3CB67C3-C771-974A-A998-A598F3C9FA6E}" xr6:coauthVersionLast="47" xr6:coauthVersionMax="47" xr10:uidLastSave="{00000000-0000-0000-0000-000000000000}"/>
  <bookViews>
    <workbookView xWindow="-120" yWindow="-120" windowWidth="20730" windowHeight="11040" tabRatio="818" activeTab="6" xr2:uid="{E3A25B49-095E-44C8-AD86-7807C396000D}"/>
  </bookViews>
  <sheets>
    <sheet name="Div, x, Max, Min, Mean &amp; Median" sheetId="2" r:id="rId1"/>
    <sheet name="Stem &amp; Leaf" sheetId="1" r:id="rId2"/>
    <sheet name="Frequency" sheetId="5" r:id="rId3"/>
    <sheet name="Box Plot" sheetId="4" r:id="rId4"/>
    <sheet name="Binomial Distribution" sheetId="6" r:id="rId5"/>
    <sheet name="Probability and E.F." sheetId="8" r:id="rId6"/>
    <sheet name="Sheet1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8" l="1"/>
  <c r="E8" i="8"/>
  <c r="E5" i="8"/>
  <c r="E7" i="8"/>
  <c r="E6" i="8"/>
  <c r="E4" i="8"/>
  <c r="E3" i="8"/>
  <c r="E2" i="8"/>
  <c r="D3" i="8"/>
  <c r="D4" i="8"/>
  <c r="D5" i="8"/>
  <c r="D6" i="8"/>
  <c r="D7" i="8"/>
  <c r="D8" i="8"/>
  <c r="D9" i="8"/>
  <c r="D2" i="8"/>
  <c r="B13" i="8"/>
  <c r="B11" i="8"/>
  <c r="C9" i="8"/>
  <c r="B9" i="8"/>
  <c r="C3" i="8"/>
  <c r="C4" i="8"/>
  <c r="C5" i="8"/>
  <c r="C6" i="8"/>
  <c r="C7" i="8"/>
  <c r="C8" i="8"/>
  <c r="C2" i="8"/>
  <c r="D3" i="6"/>
  <c r="D4" i="6"/>
  <c r="D5" i="6"/>
  <c r="D6" i="6"/>
  <c r="D7" i="6"/>
  <c r="C3" i="6"/>
  <c r="C4" i="6"/>
  <c r="C5" i="6"/>
  <c r="C6" i="6"/>
  <c r="C7" i="6"/>
  <c r="C2" i="6"/>
  <c r="D2" i="6"/>
  <c r="G5" i="6"/>
  <c r="G4" i="6"/>
  <c r="C2" i="5" a="1"/>
  <c r="C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E18" i="2"/>
  <c r="D18" i="2"/>
  <c r="C18" i="2"/>
  <c r="B18" i="2"/>
  <c r="E16" i="2"/>
  <c r="D16" i="2"/>
  <c r="C16" i="2"/>
  <c r="B16" i="2"/>
  <c r="E14" i="2"/>
  <c r="D14" i="2"/>
  <c r="C14" i="2"/>
  <c r="B14" i="2"/>
  <c r="E12" i="2"/>
  <c r="D12" i="2"/>
  <c r="C12" i="2"/>
  <c r="B12" i="2"/>
  <c r="C10" i="2"/>
  <c r="D10" i="2"/>
  <c r="E10" i="2"/>
  <c r="B10" i="2"/>
  <c r="E3" i="2"/>
  <c r="E4" i="2"/>
  <c r="E5" i="2"/>
  <c r="E6" i="2"/>
  <c r="E7" i="2"/>
  <c r="E8" i="2"/>
  <c r="E9" i="2"/>
  <c r="E2" i="2"/>
  <c r="D3" i="2"/>
  <c r="D4" i="2"/>
  <c r="D5" i="2"/>
  <c r="D6" i="2"/>
  <c r="D7" i="2"/>
  <c r="D8" i="2"/>
  <c r="D9" i="2"/>
  <c r="D2" i="2"/>
  <c r="E1" i="1"/>
  <c r="B4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  <c r="D2" i="1"/>
  <c r="B42" i="1"/>
  <c r="J7" i="4"/>
  <c r="J5" i="4"/>
  <c r="J6" i="4"/>
  <c r="J4" i="4"/>
  <c r="F7" i="4"/>
  <c r="F5" i="4"/>
  <c r="F6" i="4"/>
  <c r="F4" i="4"/>
  <c r="J3" i="4"/>
  <c r="F3" i="4"/>
  <c r="K5" i="4"/>
  <c r="K7" i="4"/>
  <c r="K6" i="4"/>
  <c r="K4" i="4"/>
  <c r="G6" i="4"/>
  <c r="G4" i="4"/>
  <c r="G7" i="4"/>
  <c r="G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<sst xmlns="http://schemas.openxmlformats.org/spreadsheetml/2006/main" count="53" uniqueCount="41">
  <si>
    <t>X</t>
  </si>
  <si>
    <t>Score</t>
  </si>
  <si>
    <t>Maximun</t>
  </si>
  <si>
    <t>Minimum</t>
  </si>
  <si>
    <t>Stem</t>
  </si>
  <si>
    <t>Leaf</t>
  </si>
  <si>
    <t>Y</t>
  </si>
  <si>
    <t>Multiplication</t>
  </si>
  <si>
    <t>Division</t>
  </si>
  <si>
    <t>Total</t>
  </si>
  <si>
    <t>Mean</t>
  </si>
  <si>
    <t>Max</t>
  </si>
  <si>
    <t>min</t>
  </si>
  <si>
    <t>median</t>
  </si>
  <si>
    <t>Box Plot</t>
  </si>
  <si>
    <t>Test1</t>
  </si>
  <si>
    <t>Test2</t>
  </si>
  <si>
    <t>Min</t>
  </si>
  <si>
    <t>Q1</t>
  </si>
  <si>
    <t>Q2</t>
  </si>
  <si>
    <t>Q3</t>
  </si>
  <si>
    <t>Difference</t>
  </si>
  <si>
    <t>Data</t>
  </si>
  <si>
    <t>Bin</t>
  </si>
  <si>
    <t>Frequency</t>
  </si>
  <si>
    <t>x (Number)</t>
  </si>
  <si>
    <t>Observed Frequency</t>
  </si>
  <si>
    <t>Binomial Probability</t>
  </si>
  <si>
    <t>Expected Frequency</t>
  </si>
  <si>
    <t>Parameters</t>
  </si>
  <si>
    <t>n (Trials)</t>
  </si>
  <si>
    <t>p (Mean/n)</t>
  </si>
  <si>
    <t>x</t>
  </si>
  <si>
    <t>f</t>
  </si>
  <si>
    <t>f*x</t>
  </si>
  <si>
    <t>Probability</t>
  </si>
  <si>
    <t>E.F (Expected Frequency)</t>
  </si>
  <si>
    <t>MEAN</t>
  </si>
  <si>
    <t>N</t>
  </si>
  <si>
    <t>P</t>
  </si>
  <si>
    <t>Y=5X+5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</si>
</sst>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4" borderId="0" xfId="0" applyFill="1" applyProtection="1">
      <protection locked="0"/>
    </xf>
    <xf numFmtId="0" fontId="0" fillId="5" borderId="1" xfId="0" applyFill="1" applyBorder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12" borderId="1" xfId="0" applyFill="1" applyBorder="1"/>
    <xf numFmtId="0" fontId="0" fillId="14" borderId="0" xfId="0" applyFill="1"/>
    <xf numFmtId="0" fontId="0" fillId="15" borderId="0" xfId="0" applyFill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eetMetadata" Target="metadata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'Box Plot'!$A$2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'Box Plot'!$A$3:$A$52</c:f>
              <c:numCache>
                <c:formatCode>General</c:formatCode>
                <c:ptCount val="50"/>
                <c:pt idx="0">
                  <c:v>56</c:v>
                </c:pt>
                <c:pt idx="1">
                  <c:v>27</c:v>
                </c:pt>
                <c:pt idx="2">
                  <c:v>28</c:v>
                </c:pt>
                <c:pt idx="3">
                  <c:v>44</c:v>
                </c:pt>
                <c:pt idx="4">
                  <c:v>95</c:v>
                </c:pt>
                <c:pt idx="5">
                  <c:v>59</c:v>
                </c:pt>
                <c:pt idx="6">
                  <c:v>48</c:v>
                </c:pt>
                <c:pt idx="7">
                  <c:v>90</c:v>
                </c:pt>
                <c:pt idx="8">
                  <c:v>95</c:v>
                </c:pt>
                <c:pt idx="9">
                  <c:v>15</c:v>
                </c:pt>
                <c:pt idx="10">
                  <c:v>90</c:v>
                </c:pt>
                <c:pt idx="11">
                  <c:v>62</c:v>
                </c:pt>
                <c:pt idx="12">
                  <c:v>29</c:v>
                </c:pt>
                <c:pt idx="13">
                  <c:v>59</c:v>
                </c:pt>
                <c:pt idx="14">
                  <c:v>22</c:v>
                </c:pt>
                <c:pt idx="15">
                  <c:v>48</c:v>
                </c:pt>
                <c:pt idx="16">
                  <c:v>77</c:v>
                </c:pt>
                <c:pt idx="17">
                  <c:v>14</c:v>
                </c:pt>
                <c:pt idx="18">
                  <c:v>88</c:v>
                </c:pt>
                <c:pt idx="19">
                  <c:v>100</c:v>
                </c:pt>
                <c:pt idx="20">
                  <c:v>18</c:v>
                </c:pt>
                <c:pt idx="21">
                  <c:v>89</c:v>
                </c:pt>
                <c:pt idx="22">
                  <c:v>18</c:v>
                </c:pt>
                <c:pt idx="23">
                  <c:v>34</c:v>
                </c:pt>
                <c:pt idx="24">
                  <c:v>56</c:v>
                </c:pt>
                <c:pt idx="25">
                  <c:v>48</c:v>
                </c:pt>
                <c:pt idx="26">
                  <c:v>12</c:v>
                </c:pt>
                <c:pt idx="27">
                  <c:v>72</c:v>
                </c:pt>
                <c:pt idx="28">
                  <c:v>42</c:v>
                </c:pt>
                <c:pt idx="29">
                  <c:v>68</c:v>
                </c:pt>
                <c:pt idx="30">
                  <c:v>75</c:v>
                </c:pt>
                <c:pt idx="31">
                  <c:v>41</c:v>
                </c:pt>
                <c:pt idx="32">
                  <c:v>97</c:v>
                </c:pt>
                <c:pt idx="33">
                  <c:v>64</c:v>
                </c:pt>
                <c:pt idx="34">
                  <c:v>92</c:v>
                </c:pt>
                <c:pt idx="35">
                  <c:v>66</c:v>
                </c:pt>
                <c:pt idx="36">
                  <c:v>25</c:v>
                </c:pt>
                <c:pt idx="37">
                  <c:v>68</c:v>
                </c:pt>
                <c:pt idx="38">
                  <c:v>46</c:v>
                </c:pt>
                <c:pt idx="39">
                  <c:v>39</c:v>
                </c:pt>
                <c:pt idx="40">
                  <c:v>62</c:v>
                </c:pt>
                <c:pt idx="41">
                  <c:v>35</c:v>
                </c:pt>
                <c:pt idx="42">
                  <c:v>54</c:v>
                </c:pt>
                <c:pt idx="43">
                  <c:v>88</c:v>
                </c:pt>
                <c:pt idx="44">
                  <c:v>85</c:v>
                </c:pt>
                <c:pt idx="45">
                  <c:v>82</c:v>
                </c:pt>
                <c:pt idx="46">
                  <c:v>84</c:v>
                </c:pt>
                <c:pt idx="47">
                  <c:v>19</c:v>
                </c:pt>
                <c:pt idx="48">
                  <c:v>19</c:v>
                </c:pt>
                <c:pt idx="4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0-41B4-81A2-47B6F69C6692}"/>
            </c:ext>
          </c:extLst>
        </c:ser>
        <c:ser>
          <c:idx val="1"/>
          <c:order val="1"/>
          <c:tx>
            <c:strRef>
              <c:f>'Box Plot'!$B$2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'Box Plot'!$B$3:$B$52</c:f>
              <c:numCache>
                <c:formatCode>General</c:formatCode>
                <c:ptCount val="50"/>
                <c:pt idx="0">
                  <c:v>75</c:v>
                </c:pt>
                <c:pt idx="1">
                  <c:v>22</c:v>
                </c:pt>
                <c:pt idx="2">
                  <c:v>56</c:v>
                </c:pt>
                <c:pt idx="3">
                  <c:v>69</c:v>
                </c:pt>
                <c:pt idx="4">
                  <c:v>12</c:v>
                </c:pt>
                <c:pt idx="5">
                  <c:v>33</c:v>
                </c:pt>
                <c:pt idx="6">
                  <c:v>22</c:v>
                </c:pt>
                <c:pt idx="7">
                  <c:v>80</c:v>
                </c:pt>
                <c:pt idx="8">
                  <c:v>96</c:v>
                </c:pt>
                <c:pt idx="9">
                  <c:v>58</c:v>
                </c:pt>
                <c:pt idx="10">
                  <c:v>13</c:v>
                </c:pt>
                <c:pt idx="11">
                  <c:v>66</c:v>
                </c:pt>
                <c:pt idx="12">
                  <c:v>74</c:v>
                </c:pt>
                <c:pt idx="13">
                  <c:v>31</c:v>
                </c:pt>
                <c:pt idx="14">
                  <c:v>24</c:v>
                </c:pt>
                <c:pt idx="15">
                  <c:v>100</c:v>
                </c:pt>
                <c:pt idx="16">
                  <c:v>43</c:v>
                </c:pt>
                <c:pt idx="17">
                  <c:v>35</c:v>
                </c:pt>
                <c:pt idx="18">
                  <c:v>68</c:v>
                </c:pt>
                <c:pt idx="19">
                  <c:v>26</c:v>
                </c:pt>
                <c:pt idx="20">
                  <c:v>32</c:v>
                </c:pt>
                <c:pt idx="21">
                  <c:v>28</c:v>
                </c:pt>
                <c:pt idx="22">
                  <c:v>47</c:v>
                </c:pt>
                <c:pt idx="23">
                  <c:v>52</c:v>
                </c:pt>
                <c:pt idx="24">
                  <c:v>55</c:v>
                </c:pt>
                <c:pt idx="25">
                  <c:v>16</c:v>
                </c:pt>
                <c:pt idx="26">
                  <c:v>35</c:v>
                </c:pt>
                <c:pt idx="27">
                  <c:v>65</c:v>
                </c:pt>
                <c:pt idx="28">
                  <c:v>78</c:v>
                </c:pt>
                <c:pt idx="29">
                  <c:v>68</c:v>
                </c:pt>
                <c:pt idx="30">
                  <c:v>95</c:v>
                </c:pt>
                <c:pt idx="31">
                  <c:v>16</c:v>
                </c:pt>
                <c:pt idx="32">
                  <c:v>70</c:v>
                </c:pt>
                <c:pt idx="33">
                  <c:v>37</c:v>
                </c:pt>
                <c:pt idx="34">
                  <c:v>88</c:v>
                </c:pt>
                <c:pt idx="35">
                  <c:v>69</c:v>
                </c:pt>
                <c:pt idx="36">
                  <c:v>84</c:v>
                </c:pt>
                <c:pt idx="37">
                  <c:v>53</c:v>
                </c:pt>
                <c:pt idx="38">
                  <c:v>100</c:v>
                </c:pt>
                <c:pt idx="39">
                  <c:v>87</c:v>
                </c:pt>
                <c:pt idx="40">
                  <c:v>21</c:v>
                </c:pt>
                <c:pt idx="41">
                  <c:v>40</c:v>
                </c:pt>
                <c:pt idx="42">
                  <c:v>99</c:v>
                </c:pt>
                <c:pt idx="43">
                  <c:v>62</c:v>
                </c:pt>
                <c:pt idx="44">
                  <c:v>86</c:v>
                </c:pt>
                <c:pt idx="45">
                  <c:v>45</c:v>
                </c:pt>
                <c:pt idx="46">
                  <c:v>89</c:v>
                </c:pt>
                <c:pt idx="47">
                  <c:v>79</c:v>
                </c:pt>
                <c:pt idx="48">
                  <c:v>21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0-41B4-81A2-47B6F69C6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430751"/>
        <c:axId val="170414431"/>
        <c:axId val="0"/>
      </c:bar3DChart>
      <c:catAx>
        <c:axId val="170430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4431"/>
        <c:crosses val="autoZero"/>
        <c:auto val="1"/>
        <c:lblAlgn val="ctr"/>
        <c:lblOffset val="100"/>
        <c:noMultiLvlLbl val="0"/>
      </c:catAx>
      <c:valAx>
        <c:axId val="1704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&amp; Expected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5782407407407409"/>
          <c:w val="0.9028635170603674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'Probability and E.F.'!$D$2:$D$9</c:f>
              <c:numCache>
                <c:formatCode>General</c:formatCode>
                <c:ptCount val="8"/>
                <c:pt idx="0">
                  <c:v>3.7176066444818218E-2</c:v>
                </c:pt>
                <c:pt idx="1">
                  <c:v>0.12916940840057003</c:v>
                </c:pt>
                <c:pt idx="2">
                  <c:v>0.24933508843681906</c:v>
                </c:pt>
                <c:pt idx="3">
                  <c:v>0.28877419396242437</c:v>
                </c:pt>
                <c:pt idx="4">
                  <c:v>0.20067099810489492</c:v>
                </c:pt>
                <c:pt idx="5">
                  <c:v>7.7470852702253151E-2</c:v>
                </c:pt>
                <c:pt idx="6">
                  <c:v>1.2817852693698969E-2</c:v>
                </c:pt>
                <c:pt idx="7">
                  <c:v>4.5855392545211511E-3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8-4B03-8399-55C4B4C1C4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'Probability and E.F.'!$E$2:$E$9</c:f>
              <c:numCache>
                <c:formatCode>General</c:formatCode>
                <c:ptCount val="8"/>
                <c:pt idx="0">
                  <c:v>4.2752476411540954</c:v>
                </c:pt>
                <c:pt idx="1">
                  <c:v>14.854481966065554</c:v>
                </c:pt>
                <c:pt idx="2">
                  <c:v>28.673535170234192</c:v>
                </c:pt>
                <c:pt idx="3">
                  <c:v>33.209032305678804</c:v>
                </c:pt>
                <c:pt idx="4">
                  <c:v>23.077164782062916</c:v>
                </c:pt>
                <c:pt idx="5">
                  <c:v>8.9091480607591116</c:v>
                </c:pt>
                <c:pt idx="6">
                  <c:v>1.4740530597753814</c:v>
                </c:pt>
                <c:pt idx="7">
                  <c:v>0.5273370142699324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8-4B03-8399-55C4B4C1C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130223"/>
        <c:axId val="797134063"/>
      </c:barChart>
      <c:catAx>
        <c:axId val="797130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34063"/>
        <c:crosses val="autoZero"/>
        <c:auto val="1"/>
        <c:lblAlgn val="ctr"/>
        <c:lblOffset val="100"/>
        <c:noMultiLvlLbl val="0"/>
      </c:catAx>
      <c:valAx>
        <c:axId val="7971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3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Y=5X+5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7-654C-B47F-EFA72B337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510159"/>
        <c:axId val="2024122639"/>
      </c:scatterChart>
      <c:valAx>
        <c:axId val="202451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122639"/>
        <c:crosses val="autoZero"/>
        <c:crossBetween val="midCat"/>
      </c:valAx>
      <c:valAx>
        <c:axId val="20241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1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7</xdr:row>
      <xdr:rowOff>1</xdr:rowOff>
    </xdr:from>
    <xdr:to>
      <xdr:col>12</xdr:col>
      <xdr:colOff>485775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0E66C-8B93-DC71-D792-2871A0A56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166687</xdr:rowOff>
    </xdr:from>
    <xdr:to>
      <xdr:col>12</xdr:col>
      <xdr:colOff>409575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1CD51-6A4E-5F49-CDC5-0544CC9F8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115389</xdr:colOff>
      <xdr:row>0</xdr:row>
      <xdr:rowOff>130870</xdr:rowOff>
    </xdr:from>
    <xdr:to>
      <xdr:col>9</xdr:col>
      <xdr:colOff>420189</xdr:colOff>
      <xdr:row>15</xdr:row>
      <xdr:rowOff>29270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90596-A023-F0BD-4E57-1567EB855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1C43-4376-470A-8630-CFA51223A731}">
  <dimension ref="A1:E18"/>
  <sheetViews>
    <sheetView workbookViewId="0">
      <selection activeCell="B12" sqref="B12"/>
    </sheetView>
  </sheetViews>
  <sheetFormatPr defaultRowHeight="15" x14ac:dyDescent="0.2"/>
  <cols>
    <col min="4" max="4" width="16.8125" customWidth="1"/>
    <col min="5" max="5" width="16.94921875" customWidth="1"/>
  </cols>
  <sheetData>
    <row r="1" spans="1:5" x14ac:dyDescent="0.2">
      <c r="A1" s="2"/>
      <c r="B1" s="2" t="s">
        <v>0</v>
      </c>
      <c r="C1" s="2" t="s">
        <v>6</v>
      </c>
      <c r="D1" s="7" t="s">
        <v>7</v>
      </c>
      <c r="E1" s="7" t="s">
        <v>8</v>
      </c>
    </row>
    <row r="2" spans="1:5" x14ac:dyDescent="0.2">
      <c r="A2" s="3"/>
      <c r="B2" s="3">
        <v>8</v>
      </c>
      <c r="C2" s="3">
        <v>21.5</v>
      </c>
      <c r="D2" s="6">
        <f>B2*C2</f>
        <v>172</v>
      </c>
      <c r="E2" s="6">
        <f>B2/C2</f>
        <v>0.37209302325581395</v>
      </c>
    </row>
    <row r="3" spans="1:5" x14ac:dyDescent="0.2">
      <c r="A3" s="3"/>
      <c r="B3" s="3">
        <v>5</v>
      </c>
      <c r="C3" s="3">
        <v>6.5</v>
      </c>
      <c r="D3" s="6">
        <f t="shared" ref="D3:D9" si="0">B3*C3</f>
        <v>32.5</v>
      </c>
      <c r="E3" s="6">
        <f t="shared" ref="E3:E9" si="1">B3/C3</f>
        <v>0.76923076923076927</v>
      </c>
    </row>
    <row r="4" spans="1:5" x14ac:dyDescent="0.2">
      <c r="A4" s="3"/>
      <c r="B4" s="3">
        <v>15</v>
      </c>
      <c r="C4" s="3">
        <v>5</v>
      </c>
      <c r="D4" s="6">
        <f t="shared" si="0"/>
        <v>75</v>
      </c>
      <c r="E4" s="6">
        <f t="shared" si="1"/>
        <v>3</v>
      </c>
    </row>
    <row r="5" spans="1:5" x14ac:dyDescent="0.2">
      <c r="A5" s="3"/>
      <c r="B5" s="3">
        <v>60</v>
      </c>
      <c r="C5" s="3">
        <v>7</v>
      </c>
      <c r="D5" s="6">
        <f t="shared" si="0"/>
        <v>420</v>
      </c>
      <c r="E5" s="6">
        <f t="shared" si="1"/>
        <v>8.5714285714285712</v>
      </c>
    </row>
    <row r="6" spans="1:5" x14ac:dyDescent="0.2">
      <c r="A6" s="3"/>
      <c r="B6" s="3">
        <v>8.5</v>
      </c>
      <c r="C6" s="3">
        <v>17</v>
      </c>
      <c r="D6" s="6">
        <f t="shared" si="0"/>
        <v>144.5</v>
      </c>
      <c r="E6" s="6">
        <f t="shared" si="1"/>
        <v>0.5</v>
      </c>
    </row>
    <row r="7" spans="1:5" x14ac:dyDescent="0.2">
      <c r="A7" s="3"/>
      <c r="B7" s="3">
        <v>20</v>
      </c>
      <c r="C7" s="3">
        <v>10</v>
      </c>
      <c r="D7" s="6">
        <f t="shared" si="0"/>
        <v>200</v>
      </c>
      <c r="E7" s="6">
        <f t="shared" si="1"/>
        <v>2</v>
      </c>
    </row>
    <row r="8" spans="1:5" x14ac:dyDescent="0.2">
      <c r="A8" s="3"/>
      <c r="B8" s="3">
        <v>7.6</v>
      </c>
      <c r="C8" s="3">
        <v>3</v>
      </c>
      <c r="D8" s="6">
        <f t="shared" si="0"/>
        <v>22.799999999999997</v>
      </c>
      <c r="E8" s="6">
        <f t="shared" si="1"/>
        <v>2.5333333333333332</v>
      </c>
    </row>
    <row r="9" spans="1:5" x14ac:dyDescent="0.2">
      <c r="A9" s="3"/>
      <c r="B9" s="3">
        <v>45</v>
      </c>
      <c r="C9" s="3">
        <v>2.5</v>
      </c>
      <c r="D9" s="6">
        <f t="shared" si="0"/>
        <v>112.5</v>
      </c>
      <c r="E9" s="6">
        <f t="shared" si="1"/>
        <v>18</v>
      </c>
    </row>
    <row r="10" spans="1:5" x14ac:dyDescent="0.2">
      <c r="A10" s="2" t="s">
        <v>9</v>
      </c>
      <c r="B10" s="2">
        <f>SUM(B2:B9)</f>
        <v>169.1</v>
      </c>
      <c r="C10" s="2">
        <f t="shared" ref="C10:E10" si="2">SUM(C2:C9)</f>
        <v>72.5</v>
      </c>
      <c r="D10" s="7">
        <f t="shared" si="2"/>
        <v>1179.3</v>
      </c>
      <c r="E10" s="7">
        <f t="shared" si="2"/>
        <v>35.746085697248489</v>
      </c>
    </row>
    <row r="12" spans="1:5" x14ac:dyDescent="0.2">
      <c r="A12" s="8" t="s">
        <v>10</v>
      </c>
      <c r="B12" s="8">
        <f>AVERAGE(B2:B9)</f>
        <v>21.137499999999999</v>
      </c>
      <c r="C12" s="8">
        <f>AVERAGE(C2:C9)</f>
        <v>9.0625</v>
      </c>
      <c r="D12" s="8">
        <f>AVERAGE(D2:D9)</f>
        <v>147.41249999999999</v>
      </c>
      <c r="E12" s="8">
        <f>AVERAGE(E2:E9)</f>
        <v>4.4682607121560611</v>
      </c>
    </row>
    <row r="14" spans="1:5" x14ac:dyDescent="0.2">
      <c r="A14" s="11" t="s">
        <v>11</v>
      </c>
      <c r="B14" s="11">
        <f>MAX(B2:B9)</f>
        <v>60</v>
      </c>
      <c r="C14" s="11">
        <f>MAX(C2:C9)</f>
        <v>21.5</v>
      </c>
      <c r="D14" s="11">
        <f>MAX(D2:D9)</f>
        <v>420</v>
      </c>
      <c r="E14" s="11">
        <f>MAX(E2:E9)</f>
        <v>18</v>
      </c>
    </row>
    <row r="16" spans="1:5" x14ac:dyDescent="0.2">
      <c r="A16" s="10" t="s">
        <v>12</v>
      </c>
      <c r="B16" s="10">
        <f>MIN(B2:B9)</f>
        <v>5</v>
      </c>
      <c r="C16" s="10">
        <f>MIN(C2:C9)</f>
        <v>2.5</v>
      </c>
      <c r="D16" s="10">
        <f>MIN(D2:D9)</f>
        <v>22.799999999999997</v>
      </c>
      <c r="E16" s="10">
        <f>MIN(E2:E9)</f>
        <v>0.37209302325581395</v>
      </c>
    </row>
    <row r="18" spans="1:5" x14ac:dyDescent="0.2">
      <c r="A18" s="11" t="s">
        <v>13</v>
      </c>
      <c r="B18" s="11">
        <f>MEDIAN(B2:B9)</f>
        <v>11.75</v>
      </c>
      <c r="C18" s="11">
        <f>MEDIAN(C2:C9)</f>
        <v>6.75</v>
      </c>
      <c r="D18" s="11">
        <f>MEDIAN(D2:D9)</f>
        <v>128.5</v>
      </c>
      <c r="E18" s="11">
        <f>MEDIAN(E2:E9)</f>
        <v>2.2666666666666666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3256-7DC1-4CFB-8F07-D39395A36B28}">
  <dimension ref="A1:E43"/>
  <sheetViews>
    <sheetView zoomScaleNormal="100" workbookViewId="0">
      <selection activeCell="J11" sqref="J11"/>
    </sheetView>
  </sheetViews>
  <sheetFormatPr defaultRowHeight="15" x14ac:dyDescent="0.2"/>
  <cols>
    <col min="1" max="1" width="9.14453125" style="3"/>
    <col min="3" max="4" width="9.14453125" style="6"/>
  </cols>
  <sheetData>
    <row r="1" spans="1:5" x14ac:dyDescent="0.2">
      <c r="A1" s="2" t="s">
        <v>1</v>
      </c>
      <c r="C1" s="5" t="s">
        <v>4</v>
      </c>
      <c r="D1" s="5" t="s">
        <v>5</v>
      </c>
      <c r="E1" t="str">
        <f>REPT("0",COUNTIF($A$2:$A$41,C2*10+0))</f>
        <v/>
      </c>
    </row>
    <row r="2" spans="1:5" x14ac:dyDescent="0.2">
      <c r="A2" s="4">
        <v>31</v>
      </c>
      <c r="C2" s="1">
        <f>INT(A2/10)</f>
        <v>3</v>
      </c>
      <c r="D2" s="1">
        <f>MOD(A2, 10)</f>
        <v>1</v>
      </c>
    </row>
    <row r="3" spans="1:5" x14ac:dyDescent="0.2">
      <c r="A3" s="3">
        <v>46</v>
      </c>
      <c r="C3" s="1">
        <f t="shared" ref="C3:C41" si="0">INT(A3/10)</f>
        <v>4</v>
      </c>
      <c r="D3" s="1">
        <f t="shared" ref="D3:D41" si="1">MOD(A3, 10)</f>
        <v>6</v>
      </c>
    </row>
    <row r="4" spans="1:5" x14ac:dyDescent="0.2">
      <c r="A4" s="3">
        <v>19</v>
      </c>
      <c r="C4" s="1">
        <f t="shared" si="0"/>
        <v>1</v>
      </c>
      <c r="D4" s="1">
        <f t="shared" si="1"/>
        <v>9</v>
      </c>
    </row>
    <row r="5" spans="1:5" x14ac:dyDescent="0.2">
      <c r="A5" s="3">
        <v>62</v>
      </c>
      <c r="C5" s="1">
        <f t="shared" si="0"/>
        <v>6</v>
      </c>
      <c r="D5" s="1">
        <f t="shared" si="1"/>
        <v>2</v>
      </c>
    </row>
    <row r="6" spans="1:5" x14ac:dyDescent="0.2">
      <c r="A6" s="3">
        <v>50</v>
      </c>
      <c r="C6" s="1">
        <f t="shared" si="0"/>
        <v>5</v>
      </c>
      <c r="D6" s="1">
        <f t="shared" si="1"/>
        <v>0</v>
      </c>
    </row>
    <row r="7" spans="1:5" x14ac:dyDescent="0.2">
      <c r="A7" s="3">
        <v>24</v>
      </c>
      <c r="C7" s="1">
        <f t="shared" si="0"/>
        <v>2</v>
      </c>
      <c r="D7" s="1">
        <f t="shared" si="1"/>
        <v>4</v>
      </c>
    </row>
    <row r="8" spans="1:5" x14ac:dyDescent="0.2">
      <c r="A8" s="3">
        <v>45</v>
      </c>
      <c r="C8" s="1">
        <f t="shared" si="0"/>
        <v>4</v>
      </c>
      <c r="D8" s="1">
        <f t="shared" si="1"/>
        <v>5</v>
      </c>
    </row>
    <row r="9" spans="1:5" x14ac:dyDescent="0.2">
      <c r="A9" s="3">
        <v>23</v>
      </c>
      <c r="C9" s="1">
        <f t="shared" si="0"/>
        <v>2</v>
      </c>
      <c r="D9" s="1">
        <f t="shared" si="1"/>
        <v>3</v>
      </c>
    </row>
    <row r="10" spans="1:5" x14ac:dyDescent="0.2">
      <c r="A10" s="3">
        <v>51</v>
      </c>
      <c r="C10" s="1">
        <f t="shared" si="0"/>
        <v>5</v>
      </c>
      <c r="D10" s="1">
        <f t="shared" si="1"/>
        <v>1</v>
      </c>
    </row>
    <row r="11" spans="1:5" x14ac:dyDescent="0.2">
      <c r="A11" s="3">
        <v>32</v>
      </c>
      <c r="C11" s="1">
        <f t="shared" si="0"/>
        <v>3</v>
      </c>
      <c r="D11" s="1">
        <f t="shared" si="1"/>
        <v>2</v>
      </c>
    </row>
    <row r="12" spans="1:5" x14ac:dyDescent="0.2">
      <c r="A12" s="3">
        <v>48</v>
      </c>
      <c r="C12" s="1">
        <f t="shared" si="0"/>
        <v>4</v>
      </c>
      <c r="D12" s="1">
        <f t="shared" si="1"/>
        <v>8</v>
      </c>
    </row>
    <row r="13" spans="1:5" x14ac:dyDescent="0.2">
      <c r="A13" s="3">
        <v>55</v>
      </c>
      <c r="C13" s="1">
        <f t="shared" si="0"/>
        <v>5</v>
      </c>
      <c r="D13" s="1">
        <f t="shared" si="1"/>
        <v>5</v>
      </c>
    </row>
    <row r="14" spans="1:5" x14ac:dyDescent="0.2">
      <c r="A14" s="3">
        <v>60</v>
      </c>
      <c r="C14" s="1">
        <f t="shared" si="0"/>
        <v>6</v>
      </c>
      <c r="D14" s="1">
        <f t="shared" si="1"/>
        <v>0</v>
      </c>
    </row>
    <row r="15" spans="1:5" x14ac:dyDescent="0.2">
      <c r="A15" s="3">
        <v>40</v>
      </c>
      <c r="C15" s="1">
        <f t="shared" si="0"/>
        <v>4</v>
      </c>
      <c r="D15" s="1">
        <f t="shared" si="1"/>
        <v>0</v>
      </c>
    </row>
    <row r="16" spans="1:5" x14ac:dyDescent="0.2">
      <c r="A16" s="3">
        <v>35</v>
      </c>
      <c r="C16" s="1">
        <f t="shared" si="0"/>
        <v>3</v>
      </c>
      <c r="D16" s="1">
        <f t="shared" si="1"/>
        <v>5</v>
      </c>
    </row>
    <row r="17" spans="1:4" x14ac:dyDescent="0.2">
      <c r="A17" s="3">
        <v>54</v>
      </c>
      <c r="C17" s="1">
        <f t="shared" si="0"/>
        <v>5</v>
      </c>
      <c r="D17" s="1">
        <f t="shared" si="1"/>
        <v>4</v>
      </c>
    </row>
    <row r="18" spans="1:4" x14ac:dyDescent="0.2">
      <c r="A18" s="3">
        <v>26</v>
      </c>
      <c r="C18" s="1">
        <f t="shared" si="0"/>
        <v>2</v>
      </c>
      <c r="D18" s="1">
        <f t="shared" si="1"/>
        <v>6</v>
      </c>
    </row>
    <row r="19" spans="1:4" x14ac:dyDescent="0.2">
      <c r="A19" s="3">
        <v>57</v>
      </c>
      <c r="C19" s="1">
        <f t="shared" si="0"/>
        <v>5</v>
      </c>
      <c r="D19" s="1">
        <f t="shared" si="1"/>
        <v>7</v>
      </c>
    </row>
    <row r="20" spans="1:4" x14ac:dyDescent="0.2">
      <c r="A20" s="3">
        <v>43</v>
      </c>
      <c r="C20" s="1">
        <f t="shared" si="0"/>
        <v>4</v>
      </c>
      <c r="D20" s="1">
        <f t="shared" si="1"/>
        <v>3</v>
      </c>
    </row>
    <row r="21" spans="1:4" x14ac:dyDescent="0.2">
      <c r="A21" s="3">
        <v>65</v>
      </c>
      <c r="C21" s="1">
        <f t="shared" si="0"/>
        <v>6</v>
      </c>
      <c r="D21" s="1">
        <f t="shared" si="1"/>
        <v>5</v>
      </c>
    </row>
    <row r="22" spans="1:4" x14ac:dyDescent="0.2">
      <c r="A22" s="3">
        <v>55</v>
      </c>
      <c r="C22" s="1">
        <f t="shared" si="0"/>
        <v>5</v>
      </c>
      <c r="D22" s="1">
        <f t="shared" si="1"/>
        <v>5</v>
      </c>
    </row>
    <row r="23" spans="1:4" x14ac:dyDescent="0.2">
      <c r="A23" s="3">
        <v>50</v>
      </c>
      <c r="C23" s="1">
        <f t="shared" si="0"/>
        <v>5</v>
      </c>
      <c r="D23" s="1">
        <f t="shared" si="1"/>
        <v>0</v>
      </c>
    </row>
    <row r="24" spans="1:4" x14ac:dyDescent="0.2">
      <c r="A24" s="3">
        <v>18</v>
      </c>
      <c r="C24" s="1">
        <f t="shared" si="0"/>
        <v>1</v>
      </c>
      <c r="D24" s="1">
        <f t="shared" si="1"/>
        <v>8</v>
      </c>
    </row>
    <row r="25" spans="1:4" x14ac:dyDescent="0.2">
      <c r="A25" s="3">
        <v>53</v>
      </c>
      <c r="C25" s="1">
        <f t="shared" si="0"/>
        <v>5</v>
      </c>
      <c r="D25" s="1">
        <f t="shared" si="1"/>
        <v>3</v>
      </c>
    </row>
    <row r="26" spans="1:4" x14ac:dyDescent="0.2">
      <c r="A26" s="3">
        <v>41</v>
      </c>
      <c r="C26" s="1">
        <f t="shared" si="0"/>
        <v>4</v>
      </c>
      <c r="D26" s="1">
        <f t="shared" si="1"/>
        <v>1</v>
      </c>
    </row>
    <row r="27" spans="1:4" x14ac:dyDescent="0.2">
      <c r="A27" s="3">
        <v>50</v>
      </c>
      <c r="C27" s="1">
        <f t="shared" si="0"/>
        <v>5</v>
      </c>
      <c r="D27" s="1">
        <f t="shared" si="1"/>
        <v>0</v>
      </c>
    </row>
    <row r="28" spans="1:4" x14ac:dyDescent="0.2">
      <c r="A28" s="3">
        <v>34</v>
      </c>
      <c r="C28" s="1">
        <f t="shared" si="0"/>
        <v>3</v>
      </c>
      <c r="D28" s="1">
        <f t="shared" si="1"/>
        <v>4</v>
      </c>
    </row>
    <row r="29" spans="1:4" x14ac:dyDescent="0.2">
      <c r="A29" s="3">
        <v>67</v>
      </c>
      <c r="C29" s="1">
        <f t="shared" si="0"/>
        <v>6</v>
      </c>
      <c r="D29" s="1">
        <f t="shared" si="1"/>
        <v>7</v>
      </c>
    </row>
    <row r="30" spans="1:4" x14ac:dyDescent="0.2">
      <c r="A30" s="3">
        <v>56</v>
      </c>
      <c r="C30" s="1">
        <f t="shared" si="0"/>
        <v>5</v>
      </c>
      <c r="D30" s="1">
        <f t="shared" si="1"/>
        <v>6</v>
      </c>
    </row>
    <row r="31" spans="1:4" x14ac:dyDescent="0.2">
      <c r="A31" s="3">
        <v>44</v>
      </c>
      <c r="C31" s="1">
        <f t="shared" si="0"/>
        <v>4</v>
      </c>
      <c r="D31" s="1">
        <f t="shared" si="1"/>
        <v>4</v>
      </c>
    </row>
    <row r="32" spans="1:4" x14ac:dyDescent="0.2">
      <c r="A32" s="3">
        <v>4</v>
      </c>
      <c r="C32" s="1">
        <f t="shared" si="0"/>
        <v>0</v>
      </c>
      <c r="D32" s="1">
        <f t="shared" si="1"/>
        <v>4</v>
      </c>
    </row>
    <row r="33" spans="1:4" x14ac:dyDescent="0.2">
      <c r="A33" s="3">
        <v>54</v>
      </c>
      <c r="C33" s="1">
        <f t="shared" si="0"/>
        <v>5</v>
      </c>
      <c r="D33" s="1">
        <f t="shared" si="1"/>
        <v>4</v>
      </c>
    </row>
    <row r="34" spans="1:4" x14ac:dyDescent="0.2">
      <c r="A34" s="3">
        <v>57</v>
      </c>
      <c r="C34" s="1">
        <f t="shared" si="0"/>
        <v>5</v>
      </c>
      <c r="D34" s="1">
        <f t="shared" si="1"/>
        <v>7</v>
      </c>
    </row>
    <row r="35" spans="1:4" x14ac:dyDescent="0.2">
      <c r="A35" s="3">
        <v>39</v>
      </c>
      <c r="C35" s="1">
        <f t="shared" si="0"/>
        <v>3</v>
      </c>
      <c r="D35" s="1">
        <f t="shared" si="1"/>
        <v>9</v>
      </c>
    </row>
    <row r="36" spans="1:4" x14ac:dyDescent="0.2">
      <c r="A36" s="3">
        <v>52</v>
      </c>
      <c r="C36" s="1">
        <f t="shared" si="0"/>
        <v>5</v>
      </c>
      <c r="D36" s="1">
        <f t="shared" si="1"/>
        <v>2</v>
      </c>
    </row>
    <row r="37" spans="1:4" x14ac:dyDescent="0.2">
      <c r="A37" s="3">
        <v>45</v>
      </c>
      <c r="C37" s="1">
        <f t="shared" si="0"/>
        <v>4</v>
      </c>
      <c r="D37" s="1">
        <f t="shared" si="1"/>
        <v>5</v>
      </c>
    </row>
    <row r="38" spans="1:4" x14ac:dyDescent="0.2">
      <c r="A38" s="3">
        <v>35</v>
      </c>
      <c r="C38" s="1">
        <f t="shared" si="0"/>
        <v>3</v>
      </c>
      <c r="D38" s="1">
        <f t="shared" si="1"/>
        <v>5</v>
      </c>
    </row>
    <row r="39" spans="1:4" x14ac:dyDescent="0.2">
      <c r="A39" s="3">
        <v>61</v>
      </c>
      <c r="C39" s="1">
        <f t="shared" si="0"/>
        <v>6</v>
      </c>
      <c r="D39" s="1">
        <f t="shared" si="1"/>
        <v>1</v>
      </c>
    </row>
    <row r="40" spans="1:4" x14ac:dyDescent="0.2">
      <c r="A40" s="3">
        <v>63</v>
      </c>
      <c r="C40" s="1">
        <f t="shared" si="0"/>
        <v>6</v>
      </c>
      <c r="D40" s="1">
        <f t="shared" si="1"/>
        <v>3</v>
      </c>
    </row>
    <row r="41" spans="1:4" x14ac:dyDescent="0.2">
      <c r="A41" s="3">
        <v>42</v>
      </c>
      <c r="C41" s="1">
        <f t="shared" si="0"/>
        <v>4</v>
      </c>
      <c r="D41" s="1">
        <f t="shared" si="1"/>
        <v>2</v>
      </c>
    </row>
    <row r="42" spans="1:4" x14ac:dyDescent="0.2">
      <c r="A42" s="3" t="s">
        <v>2</v>
      </c>
      <c r="B42">
        <f>MAX(A2:A41)</f>
        <v>67</v>
      </c>
    </row>
    <row r="43" spans="1:4" x14ac:dyDescent="0.2">
      <c r="A43" s="3" t="s">
        <v>3</v>
      </c>
      <c r="B43">
        <f>MIN(A2:A41)</f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B220-3783-4929-B776-B059292345B5}">
  <dimension ref="A1:C16"/>
  <sheetViews>
    <sheetView workbookViewId="0">
      <selection activeCell="G22" sqref="G22"/>
    </sheetView>
  </sheetViews>
  <sheetFormatPr defaultRowHeight="15" x14ac:dyDescent="0.2"/>
  <cols>
    <col min="3" max="3" width="9.81640625" customWidth="1"/>
  </cols>
  <sheetData>
    <row r="1" spans="1:3" x14ac:dyDescent="0.2">
      <c r="A1" s="9" t="s">
        <v>22</v>
      </c>
      <c r="B1" s="2" t="s">
        <v>23</v>
      </c>
      <c r="C1" s="13" t="s">
        <v>24</v>
      </c>
    </row>
    <row r="2" spans="1:3" x14ac:dyDescent="0.2">
      <c r="A2" s="11">
        <v>23</v>
      </c>
      <c r="B2" s="3">
        <v>20</v>
      </c>
      <c r="C2" s="12" cm="1">
        <f t="array" ref="C2:C7">FREQUENCY(A2:A16,B2:B6)</f>
        <v>1</v>
      </c>
    </row>
    <row r="3" spans="1:3" x14ac:dyDescent="0.2">
      <c r="A3" s="11">
        <v>45</v>
      </c>
      <c r="B3" s="3">
        <v>30</v>
      </c>
      <c r="C3" s="12">
        <v>5</v>
      </c>
    </row>
    <row r="4" spans="1:3" x14ac:dyDescent="0.2">
      <c r="A4" s="11">
        <v>34</v>
      </c>
      <c r="B4" s="3">
        <v>40</v>
      </c>
      <c r="C4" s="12">
        <v>5</v>
      </c>
    </row>
    <row r="5" spans="1:3" x14ac:dyDescent="0.2">
      <c r="A5" s="11">
        <v>22</v>
      </c>
      <c r="B5" s="3">
        <v>50</v>
      </c>
      <c r="C5" s="12">
        <v>3</v>
      </c>
    </row>
    <row r="6" spans="1:3" x14ac:dyDescent="0.2">
      <c r="A6" s="11">
        <v>56</v>
      </c>
      <c r="B6" s="3">
        <v>60</v>
      </c>
      <c r="C6" s="12">
        <v>1</v>
      </c>
    </row>
    <row r="7" spans="1:3" x14ac:dyDescent="0.2">
      <c r="A7" s="11">
        <v>33</v>
      </c>
      <c r="C7" s="12">
        <v>0</v>
      </c>
    </row>
    <row r="8" spans="1:3" x14ac:dyDescent="0.2">
      <c r="A8" s="11">
        <v>29</v>
      </c>
    </row>
    <row r="9" spans="1:3" x14ac:dyDescent="0.2">
      <c r="A9" s="11">
        <v>40</v>
      </c>
    </row>
    <row r="10" spans="1:3" x14ac:dyDescent="0.2">
      <c r="A10" s="11">
        <v>19</v>
      </c>
    </row>
    <row r="11" spans="1:3" x14ac:dyDescent="0.2">
      <c r="A11" s="11">
        <v>21</v>
      </c>
    </row>
    <row r="12" spans="1:3" x14ac:dyDescent="0.2">
      <c r="A12" s="11">
        <v>50</v>
      </c>
    </row>
    <row r="13" spans="1:3" x14ac:dyDescent="0.2">
      <c r="A13" s="11">
        <v>28</v>
      </c>
    </row>
    <row r="14" spans="1:3" x14ac:dyDescent="0.2">
      <c r="A14" s="11">
        <v>31</v>
      </c>
    </row>
    <row r="15" spans="1:3" x14ac:dyDescent="0.2">
      <c r="A15" s="11">
        <v>43</v>
      </c>
    </row>
    <row r="16" spans="1:3" x14ac:dyDescent="0.2">
      <c r="A16" s="11">
        <v>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C1D7-4BAE-492B-AD3C-9F7F62CDA9C0}">
  <dimension ref="A1:K52"/>
  <sheetViews>
    <sheetView workbookViewId="0">
      <selection sqref="A1:B1"/>
    </sheetView>
  </sheetViews>
  <sheetFormatPr defaultRowHeight="15" x14ac:dyDescent="0.2"/>
  <sheetData>
    <row r="1" spans="1:11" x14ac:dyDescent="0.2">
      <c r="A1" t="s">
        <v>14</v>
      </c>
    </row>
    <row r="2" spans="1:11" x14ac:dyDescent="0.2">
      <c r="A2" t="s">
        <v>15</v>
      </c>
      <c r="B2" t="s">
        <v>16</v>
      </c>
      <c r="F2" t="s">
        <v>15</v>
      </c>
      <c r="G2" t="s">
        <v>21</v>
      </c>
      <c r="J2" t="s">
        <v>16</v>
      </c>
      <c r="K2" t="s">
        <v>21</v>
      </c>
    </row>
    <row r="3" spans="1:11" x14ac:dyDescent="0.2">
      <c r="A3">
        <f ca="1">RANDBETWEEN(10,100)</f>
        <v>56</v>
      </c>
      <c r="B3">
        <f ca="1">RANDBETWEEN(10,100)</f>
        <v>75</v>
      </c>
      <c r="E3" t="s">
        <v>17</v>
      </c>
      <c r="F3">
        <f ca="1">MIN(A3:A52)</f>
        <v>12</v>
      </c>
      <c r="G3">
        <v>10</v>
      </c>
      <c r="I3" t="s">
        <v>17</v>
      </c>
      <c r="J3">
        <f ca="1">MIN(B3:B52)</f>
        <v>12</v>
      </c>
      <c r="K3">
        <v>10</v>
      </c>
    </row>
    <row r="4" spans="1:11" x14ac:dyDescent="0.2">
      <c r="A4">
        <f t="shared" ref="A4:B52" ca="1" si="0">RANDBETWEEN(10,100)</f>
        <v>27</v>
      </c>
      <c r="B4">
        <f t="shared" ca="1" si="0"/>
        <v>22</v>
      </c>
      <c r="E4" t="s">
        <v>18</v>
      </c>
      <c r="F4">
        <f ca="1">QUARTILE(A3:A52,1)</f>
        <v>34.25</v>
      </c>
      <c r="G4">
        <f ca="1">F4-F3</f>
        <v>22.25</v>
      </c>
      <c r="I4" t="s">
        <v>18</v>
      </c>
      <c r="J4">
        <f ca="1">QUARTILE(B3:B52,1)</f>
        <v>31.25</v>
      </c>
      <c r="K4">
        <f ca="1">J4-J3</f>
        <v>19.25</v>
      </c>
    </row>
    <row r="5" spans="1:11" x14ac:dyDescent="0.2">
      <c r="A5">
        <f t="shared" ca="1" si="0"/>
        <v>28</v>
      </c>
      <c r="B5">
        <f t="shared" ca="1" si="0"/>
        <v>56</v>
      </c>
      <c r="E5" t="s">
        <v>19</v>
      </c>
      <c r="F5">
        <f ca="1">QUARTILE(A3:A52,2)</f>
        <v>57.5</v>
      </c>
      <c r="G5">
        <f ca="1">F5-F4</f>
        <v>23.25</v>
      </c>
      <c r="I5" t="s">
        <v>19</v>
      </c>
      <c r="J5">
        <f ca="1">QUARTILE(B3:B52,2)</f>
        <v>55.5</v>
      </c>
      <c r="K5">
        <f ca="1">J5-J4</f>
        <v>24.25</v>
      </c>
    </row>
    <row r="6" spans="1:11" x14ac:dyDescent="0.2">
      <c r="A6">
        <f t="shared" ca="1" si="0"/>
        <v>44</v>
      </c>
      <c r="B6">
        <f t="shared" ca="1" si="0"/>
        <v>69</v>
      </c>
      <c r="E6" t="s">
        <v>20</v>
      </c>
      <c r="F6">
        <f ca="1">QUARTILE(A3:A52,3)</f>
        <v>83.5</v>
      </c>
      <c r="G6">
        <f ca="1">F6-F5</f>
        <v>26</v>
      </c>
      <c r="I6" t="s">
        <v>20</v>
      </c>
      <c r="J6">
        <f ca="1">QUARTILE(B3:B42,3)</f>
        <v>74.25</v>
      </c>
      <c r="K6">
        <f ca="1">J6-J5</f>
        <v>18.75</v>
      </c>
    </row>
    <row r="7" spans="1:11" x14ac:dyDescent="0.2">
      <c r="A7">
        <f t="shared" ca="1" si="0"/>
        <v>95</v>
      </c>
      <c r="B7">
        <f t="shared" ca="1" si="0"/>
        <v>12</v>
      </c>
      <c r="E7" t="s">
        <v>11</v>
      </c>
      <c r="F7">
        <f ca="1">MAX(A3:A52)</f>
        <v>100</v>
      </c>
      <c r="G7">
        <f ca="1">F7-F6</f>
        <v>16.5</v>
      </c>
      <c r="I7" t="s">
        <v>11</v>
      </c>
      <c r="J7">
        <f ca="1">MAX(B3:B52)</f>
        <v>100</v>
      </c>
      <c r="K7">
        <f ca="1">J7-J6</f>
        <v>25.75</v>
      </c>
    </row>
    <row r="8" spans="1:11" x14ac:dyDescent="0.2">
      <c r="A8">
        <f t="shared" ca="1" si="0"/>
        <v>59</v>
      </c>
      <c r="B8">
        <f t="shared" ca="1" si="0"/>
        <v>33</v>
      </c>
    </row>
    <row r="9" spans="1:11" x14ac:dyDescent="0.2">
      <c r="A9">
        <f t="shared" ca="1" si="0"/>
        <v>48</v>
      </c>
      <c r="B9">
        <f t="shared" ca="1" si="0"/>
        <v>22</v>
      </c>
    </row>
    <row r="10" spans="1:11" x14ac:dyDescent="0.2">
      <c r="A10">
        <f t="shared" ca="1" si="0"/>
        <v>90</v>
      </c>
      <c r="B10">
        <f t="shared" ca="1" si="0"/>
        <v>80</v>
      </c>
    </row>
    <row r="11" spans="1:11" x14ac:dyDescent="0.2">
      <c r="A11">
        <f t="shared" ca="1" si="0"/>
        <v>95</v>
      </c>
      <c r="B11">
        <f t="shared" ca="1" si="0"/>
        <v>96</v>
      </c>
    </row>
    <row r="12" spans="1:11" x14ac:dyDescent="0.2">
      <c r="A12">
        <f t="shared" ca="1" si="0"/>
        <v>15</v>
      </c>
      <c r="B12">
        <f t="shared" ca="1" si="0"/>
        <v>58</v>
      </c>
    </row>
    <row r="13" spans="1:11" x14ac:dyDescent="0.2">
      <c r="A13">
        <f t="shared" ca="1" si="0"/>
        <v>90</v>
      </c>
      <c r="B13">
        <f t="shared" ca="1" si="0"/>
        <v>13</v>
      </c>
    </row>
    <row r="14" spans="1:11" x14ac:dyDescent="0.2">
      <c r="A14">
        <f t="shared" ca="1" si="0"/>
        <v>62</v>
      </c>
      <c r="B14">
        <f t="shared" ca="1" si="0"/>
        <v>66</v>
      </c>
    </row>
    <row r="15" spans="1:11" x14ac:dyDescent="0.2">
      <c r="A15">
        <f t="shared" ca="1" si="0"/>
        <v>29</v>
      </c>
      <c r="B15">
        <f t="shared" ca="1" si="0"/>
        <v>74</v>
      </c>
    </row>
    <row r="16" spans="1:11" x14ac:dyDescent="0.2">
      <c r="A16">
        <f t="shared" ca="1" si="0"/>
        <v>59</v>
      </c>
      <c r="B16">
        <f t="shared" ca="1" si="0"/>
        <v>31</v>
      </c>
    </row>
    <row r="17" spans="1:2" x14ac:dyDescent="0.2">
      <c r="A17">
        <f t="shared" ca="1" si="0"/>
        <v>22</v>
      </c>
      <c r="B17">
        <f t="shared" ca="1" si="0"/>
        <v>24</v>
      </c>
    </row>
    <row r="18" spans="1:2" x14ac:dyDescent="0.2">
      <c r="A18">
        <f t="shared" ca="1" si="0"/>
        <v>48</v>
      </c>
      <c r="B18">
        <f t="shared" ca="1" si="0"/>
        <v>100</v>
      </c>
    </row>
    <row r="19" spans="1:2" x14ac:dyDescent="0.2">
      <c r="A19">
        <f t="shared" ca="1" si="0"/>
        <v>77</v>
      </c>
      <c r="B19">
        <f t="shared" ca="1" si="0"/>
        <v>43</v>
      </c>
    </row>
    <row r="20" spans="1:2" x14ac:dyDescent="0.2">
      <c r="A20">
        <f t="shared" ca="1" si="0"/>
        <v>14</v>
      </c>
      <c r="B20">
        <f t="shared" ca="1" si="0"/>
        <v>35</v>
      </c>
    </row>
    <row r="21" spans="1:2" x14ac:dyDescent="0.2">
      <c r="A21">
        <f t="shared" ca="1" si="0"/>
        <v>88</v>
      </c>
      <c r="B21">
        <f t="shared" ca="1" si="0"/>
        <v>68</v>
      </c>
    </row>
    <row r="22" spans="1:2" x14ac:dyDescent="0.2">
      <c r="A22">
        <f t="shared" ca="1" si="0"/>
        <v>100</v>
      </c>
      <c r="B22">
        <f t="shared" ca="1" si="0"/>
        <v>26</v>
      </c>
    </row>
    <row r="23" spans="1:2" x14ac:dyDescent="0.2">
      <c r="A23">
        <f t="shared" ca="1" si="0"/>
        <v>18</v>
      </c>
      <c r="B23">
        <f t="shared" ca="1" si="0"/>
        <v>32</v>
      </c>
    </row>
    <row r="24" spans="1:2" x14ac:dyDescent="0.2">
      <c r="A24">
        <f t="shared" ca="1" si="0"/>
        <v>89</v>
      </c>
      <c r="B24">
        <f t="shared" ca="1" si="0"/>
        <v>28</v>
      </c>
    </row>
    <row r="25" spans="1:2" x14ac:dyDescent="0.2">
      <c r="A25">
        <f t="shared" ca="1" si="0"/>
        <v>18</v>
      </c>
      <c r="B25">
        <f t="shared" ca="1" si="0"/>
        <v>47</v>
      </c>
    </row>
    <row r="26" spans="1:2" x14ac:dyDescent="0.2">
      <c r="A26">
        <f t="shared" ca="1" si="0"/>
        <v>34</v>
      </c>
      <c r="B26">
        <f t="shared" ca="1" si="0"/>
        <v>52</v>
      </c>
    </row>
    <row r="27" spans="1:2" x14ac:dyDescent="0.2">
      <c r="A27">
        <f t="shared" ca="1" si="0"/>
        <v>56</v>
      </c>
      <c r="B27">
        <f t="shared" ca="1" si="0"/>
        <v>55</v>
      </c>
    </row>
    <row r="28" spans="1:2" x14ac:dyDescent="0.2">
      <c r="A28">
        <f t="shared" ca="1" si="0"/>
        <v>48</v>
      </c>
      <c r="B28">
        <f t="shared" ca="1" si="0"/>
        <v>16</v>
      </c>
    </row>
    <row r="29" spans="1:2" x14ac:dyDescent="0.2">
      <c r="A29">
        <f t="shared" ca="1" si="0"/>
        <v>12</v>
      </c>
      <c r="B29">
        <f t="shared" ca="1" si="0"/>
        <v>35</v>
      </c>
    </row>
    <row r="30" spans="1:2" x14ac:dyDescent="0.2">
      <c r="A30">
        <f t="shared" ca="1" si="0"/>
        <v>72</v>
      </c>
      <c r="B30">
        <f t="shared" ca="1" si="0"/>
        <v>65</v>
      </c>
    </row>
    <row r="31" spans="1:2" x14ac:dyDescent="0.2">
      <c r="A31">
        <f t="shared" ca="1" si="0"/>
        <v>42</v>
      </c>
      <c r="B31">
        <f t="shared" ca="1" si="0"/>
        <v>78</v>
      </c>
    </row>
    <row r="32" spans="1:2" x14ac:dyDescent="0.2">
      <c r="A32">
        <f t="shared" ca="1" si="0"/>
        <v>68</v>
      </c>
      <c r="B32">
        <f t="shared" ca="1" si="0"/>
        <v>68</v>
      </c>
    </row>
    <row r="33" spans="1:2" x14ac:dyDescent="0.2">
      <c r="A33">
        <f t="shared" ca="1" si="0"/>
        <v>75</v>
      </c>
      <c r="B33">
        <f t="shared" ca="1" si="0"/>
        <v>95</v>
      </c>
    </row>
    <row r="34" spans="1:2" x14ac:dyDescent="0.2">
      <c r="A34">
        <f t="shared" ca="1" si="0"/>
        <v>41</v>
      </c>
      <c r="B34">
        <f t="shared" ca="1" si="0"/>
        <v>16</v>
      </c>
    </row>
    <row r="35" spans="1:2" x14ac:dyDescent="0.2">
      <c r="A35">
        <f t="shared" ca="1" si="0"/>
        <v>97</v>
      </c>
      <c r="B35">
        <f t="shared" ca="1" si="0"/>
        <v>70</v>
      </c>
    </row>
    <row r="36" spans="1:2" x14ac:dyDescent="0.2">
      <c r="A36">
        <f t="shared" ca="1" si="0"/>
        <v>64</v>
      </c>
      <c r="B36">
        <f t="shared" ca="1" si="0"/>
        <v>37</v>
      </c>
    </row>
    <row r="37" spans="1:2" x14ac:dyDescent="0.2">
      <c r="A37">
        <f t="shared" ca="1" si="0"/>
        <v>92</v>
      </c>
      <c r="B37">
        <f t="shared" ca="1" si="0"/>
        <v>88</v>
      </c>
    </row>
    <row r="38" spans="1:2" x14ac:dyDescent="0.2">
      <c r="A38">
        <f t="shared" ca="1" si="0"/>
        <v>66</v>
      </c>
      <c r="B38">
        <f t="shared" ca="1" si="0"/>
        <v>69</v>
      </c>
    </row>
    <row r="39" spans="1:2" x14ac:dyDescent="0.2">
      <c r="A39">
        <f t="shared" ca="1" si="0"/>
        <v>25</v>
      </c>
      <c r="B39">
        <f t="shared" ca="1" si="0"/>
        <v>84</v>
      </c>
    </row>
    <row r="40" spans="1:2" x14ac:dyDescent="0.2">
      <c r="A40">
        <f t="shared" ca="1" si="0"/>
        <v>68</v>
      </c>
      <c r="B40">
        <f t="shared" ca="1" si="0"/>
        <v>53</v>
      </c>
    </row>
    <row r="41" spans="1:2" x14ac:dyDescent="0.2">
      <c r="A41">
        <f t="shared" ca="1" si="0"/>
        <v>46</v>
      </c>
      <c r="B41">
        <f t="shared" ca="1" si="0"/>
        <v>100</v>
      </c>
    </row>
    <row r="42" spans="1:2" x14ac:dyDescent="0.2">
      <c r="A42">
        <f t="shared" ca="1" si="0"/>
        <v>39</v>
      </c>
      <c r="B42">
        <f t="shared" ca="1" si="0"/>
        <v>87</v>
      </c>
    </row>
    <row r="43" spans="1:2" x14ac:dyDescent="0.2">
      <c r="A43">
        <f t="shared" ca="1" si="0"/>
        <v>62</v>
      </c>
      <c r="B43">
        <f t="shared" ca="1" si="0"/>
        <v>21</v>
      </c>
    </row>
    <row r="44" spans="1:2" x14ac:dyDescent="0.2">
      <c r="A44">
        <f t="shared" ca="1" si="0"/>
        <v>35</v>
      </c>
      <c r="B44">
        <f t="shared" ca="1" si="0"/>
        <v>40</v>
      </c>
    </row>
    <row r="45" spans="1:2" x14ac:dyDescent="0.2">
      <c r="A45">
        <f t="shared" ca="1" si="0"/>
        <v>54</v>
      </c>
      <c r="B45">
        <f t="shared" ca="1" si="0"/>
        <v>99</v>
      </c>
    </row>
    <row r="46" spans="1:2" x14ac:dyDescent="0.2">
      <c r="A46">
        <f t="shared" ca="1" si="0"/>
        <v>88</v>
      </c>
      <c r="B46">
        <f t="shared" ca="1" si="0"/>
        <v>62</v>
      </c>
    </row>
    <row r="47" spans="1:2" x14ac:dyDescent="0.2">
      <c r="A47">
        <f t="shared" ca="1" si="0"/>
        <v>85</v>
      </c>
      <c r="B47">
        <f t="shared" ca="1" si="0"/>
        <v>86</v>
      </c>
    </row>
    <row r="48" spans="1:2" x14ac:dyDescent="0.2">
      <c r="A48">
        <f t="shared" ca="1" si="0"/>
        <v>82</v>
      </c>
      <c r="B48">
        <f t="shared" ca="1" si="0"/>
        <v>45</v>
      </c>
    </row>
    <row r="49" spans="1:2" x14ac:dyDescent="0.2">
      <c r="A49">
        <f t="shared" ca="1" si="0"/>
        <v>84</v>
      </c>
      <c r="B49">
        <f t="shared" ca="1" si="0"/>
        <v>89</v>
      </c>
    </row>
    <row r="50" spans="1:2" x14ac:dyDescent="0.2">
      <c r="A50">
        <f t="shared" ca="1" si="0"/>
        <v>19</v>
      </c>
      <c r="B50">
        <f t="shared" ca="1" si="0"/>
        <v>79</v>
      </c>
    </row>
    <row r="51" spans="1:2" x14ac:dyDescent="0.2">
      <c r="A51">
        <f t="shared" ca="1" si="0"/>
        <v>19</v>
      </c>
      <c r="B51">
        <f t="shared" ca="1" si="0"/>
        <v>21</v>
      </c>
    </row>
    <row r="52" spans="1:2" x14ac:dyDescent="0.2">
      <c r="A52">
        <f t="shared" ca="1" si="0"/>
        <v>85</v>
      </c>
      <c r="B52">
        <f t="shared" ca="1" si="0"/>
        <v>30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DFE5-F5CD-47E2-A9EE-0834F53326D5}">
  <dimension ref="A1:G7"/>
  <sheetViews>
    <sheetView workbookViewId="0">
      <selection activeCell="G4" sqref="G4"/>
    </sheetView>
  </sheetViews>
  <sheetFormatPr defaultRowHeight="15" x14ac:dyDescent="0.2"/>
  <cols>
    <col min="1" max="1" width="12.10546875" customWidth="1"/>
    <col min="2" max="2" width="19.50390625" customWidth="1"/>
    <col min="3" max="3" width="19.234375" customWidth="1"/>
    <col min="4" max="4" width="18.96484375" customWidth="1"/>
    <col min="6" max="6" width="11.296875" customWidth="1"/>
  </cols>
  <sheetData>
    <row r="1" spans="1:7" x14ac:dyDescent="0.2">
      <c r="A1" s="15" t="s">
        <v>25</v>
      </c>
      <c r="B1" s="15" t="s">
        <v>26</v>
      </c>
      <c r="C1" s="15" t="s">
        <v>27</v>
      </c>
      <c r="D1" s="15" t="s">
        <v>28</v>
      </c>
      <c r="F1" s="20" t="s">
        <v>29</v>
      </c>
      <c r="G1" s="20"/>
    </row>
    <row r="2" spans="1:7" x14ac:dyDescent="0.2">
      <c r="A2" s="16">
        <v>0</v>
      </c>
      <c r="B2" s="16">
        <v>5</v>
      </c>
      <c r="C2" s="17">
        <f>_xlfn.BINOM.DIST(A2,$G$2,$G$5,FALSE)</f>
        <v>4.1819549300000008E-2</v>
      </c>
      <c r="D2" s="17">
        <f>$G$3*C2</f>
        <v>4.1819549300000007</v>
      </c>
      <c r="F2" s="1" t="s">
        <v>30</v>
      </c>
      <c r="G2" s="14">
        <v>5</v>
      </c>
    </row>
    <row r="3" spans="1:7" x14ac:dyDescent="0.2">
      <c r="A3" s="16">
        <v>1</v>
      </c>
      <c r="B3" s="16">
        <v>18</v>
      </c>
      <c r="C3" s="17">
        <f t="shared" ref="C3:C7" si="0">_xlfn.BINOM.DIST(A3,$G$2,$G$5,FALSE)</f>
        <v>0.1854263035</v>
      </c>
      <c r="D3" s="17">
        <f t="shared" ref="D3:D7" si="1">$G$3*C3</f>
        <v>18.54263035</v>
      </c>
      <c r="F3" s="1" t="s">
        <v>9</v>
      </c>
      <c r="G3" s="14">
        <v>100</v>
      </c>
    </row>
    <row r="4" spans="1:7" x14ac:dyDescent="0.2">
      <c r="A4" s="16">
        <v>2</v>
      </c>
      <c r="B4" s="16">
        <v>32</v>
      </c>
      <c r="C4" s="17">
        <f t="shared" si="0"/>
        <v>0.32886929299999995</v>
      </c>
      <c r="D4" s="17">
        <f t="shared" si="1"/>
        <v>32.886929299999998</v>
      </c>
      <c r="F4" s="1" t="s">
        <v>10</v>
      </c>
      <c r="G4" s="14">
        <f>SUMPRODUCT(A2:A7,B2:B7)/G3</f>
        <v>2.35</v>
      </c>
    </row>
    <row r="5" spans="1:7" x14ac:dyDescent="0.2">
      <c r="A5" s="16">
        <v>3</v>
      </c>
      <c r="B5" s="16">
        <v>30</v>
      </c>
      <c r="C5" s="17">
        <f t="shared" si="0"/>
        <v>0.29163880699999994</v>
      </c>
      <c r="D5" s="17">
        <f t="shared" si="1"/>
        <v>29.163880699999993</v>
      </c>
      <c r="F5" s="1" t="s">
        <v>31</v>
      </c>
      <c r="G5" s="14">
        <f>G4/G2</f>
        <v>0.47000000000000003</v>
      </c>
    </row>
    <row r="6" spans="1:7" x14ac:dyDescent="0.2">
      <c r="A6" s="16">
        <v>4</v>
      </c>
      <c r="B6" s="16">
        <v>12</v>
      </c>
      <c r="C6" s="17">
        <f t="shared" si="0"/>
        <v>0.12931154649999993</v>
      </c>
      <c r="D6" s="17">
        <f t="shared" si="1"/>
        <v>12.931154649999993</v>
      </c>
    </row>
    <row r="7" spans="1:7" x14ac:dyDescent="0.2">
      <c r="A7" s="16">
        <v>5</v>
      </c>
      <c r="B7" s="16">
        <v>3</v>
      </c>
      <c r="C7" s="17">
        <f t="shared" si="0"/>
        <v>2.2934500700000013E-2</v>
      </c>
      <c r="D7" s="17">
        <f t="shared" si="1"/>
        <v>2.2934500700000013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6537-614B-4682-8377-4791AC28FDC5}">
  <dimension ref="A1:E13"/>
  <sheetViews>
    <sheetView workbookViewId="0">
      <selection activeCell="D14" sqref="D14"/>
    </sheetView>
  </sheetViews>
  <sheetFormatPr defaultRowHeight="15" x14ac:dyDescent="0.2"/>
  <cols>
    <col min="4" max="4" width="11.97265625" customWidth="1"/>
    <col min="5" max="5" width="23.13671875" customWidth="1"/>
  </cols>
  <sheetData>
    <row r="1" spans="1:5" x14ac:dyDescent="0.2">
      <c r="A1" s="7" t="s">
        <v>32</v>
      </c>
      <c r="B1" s="7" t="s">
        <v>33</v>
      </c>
      <c r="C1" s="7" t="s">
        <v>34</v>
      </c>
      <c r="D1" s="2" t="s">
        <v>35</v>
      </c>
      <c r="E1" s="2" t="s">
        <v>36</v>
      </c>
    </row>
    <row r="2" spans="1:5" x14ac:dyDescent="0.2">
      <c r="A2" s="6">
        <v>1</v>
      </c>
      <c r="B2" s="6">
        <v>4</v>
      </c>
      <c r="C2" s="6">
        <f>(A2*B2)</f>
        <v>4</v>
      </c>
      <c r="D2" s="3">
        <f>_xlfn.BINOM.DIST(A2,7,0.536646,FALSE)</f>
        <v>3.7176066444818218E-2</v>
      </c>
      <c r="E2" s="3">
        <f>D2*B9</f>
        <v>4.2752476411540954</v>
      </c>
    </row>
    <row r="3" spans="1:5" x14ac:dyDescent="0.2">
      <c r="A3" s="6">
        <v>2</v>
      </c>
      <c r="B3" s="6">
        <v>13</v>
      </c>
      <c r="C3" s="6">
        <f t="shared" ref="C3:C8" si="0">(A3*B3)</f>
        <v>26</v>
      </c>
      <c r="D3" s="3">
        <f t="shared" ref="D3:D9" si="1">_xlfn.BINOM.DIST(A3,7,0.536646,FALSE)</f>
        <v>0.12916940840057003</v>
      </c>
      <c r="E3" s="3">
        <f>D3*B9</f>
        <v>14.854481966065554</v>
      </c>
    </row>
    <row r="4" spans="1:5" x14ac:dyDescent="0.2">
      <c r="A4" s="6">
        <v>3</v>
      </c>
      <c r="B4" s="6">
        <v>28</v>
      </c>
      <c r="C4" s="6">
        <f t="shared" si="0"/>
        <v>84</v>
      </c>
      <c r="D4" s="3">
        <f t="shared" si="1"/>
        <v>0.24933508843681906</v>
      </c>
      <c r="E4" s="3">
        <f>D4*B9</f>
        <v>28.673535170234192</v>
      </c>
    </row>
    <row r="5" spans="1:5" x14ac:dyDescent="0.2">
      <c r="A5" s="6">
        <v>4</v>
      </c>
      <c r="B5" s="6">
        <v>42</v>
      </c>
      <c r="C5" s="6">
        <f t="shared" si="0"/>
        <v>168</v>
      </c>
      <c r="D5" s="3">
        <f t="shared" si="1"/>
        <v>0.28877419396242437</v>
      </c>
      <c r="E5" s="3">
        <f>D5*B9</f>
        <v>33.209032305678804</v>
      </c>
    </row>
    <row r="6" spans="1:5" x14ac:dyDescent="0.2">
      <c r="A6" s="6">
        <v>5</v>
      </c>
      <c r="B6" s="6">
        <v>20</v>
      </c>
      <c r="C6" s="6">
        <f t="shared" si="0"/>
        <v>100</v>
      </c>
      <c r="D6" s="3">
        <f t="shared" si="1"/>
        <v>0.20067099810489492</v>
      </c>
      <c r="E6" s="3">
        <f>D6*B9</f>
        <v>23.077164782062916</v>
      </c>
    </row>
    <row r="7" spans="1:5" x14ac:dyDescent="0.2">
      <c r="A7" s="6">
        <v>6</v>
      </c>
      <c r="B7" s="6">
        <v>6</v>
      </c>
      <c r="C7" s="6">
        <f t="shared" si="0"/>
        <v>36</v>
      </c>
      <c r="D7" s="3">
        <f t="shared" si="1"/>
        <v>7.7470852702253151E-2</v>
      </c>
      <c r="E7" s="3">
        <f>D7*B9</f>
        <v>8.9091480607591116</v>
      </c>
    </row>
    <row r="8" spans="1:5" x14ac:dyDescent="0.2">
      <c r="A8" s="6">
        <v>7</v>
      </c>
      <c r="B8" s="6">
        <v>2</v>
      </c>
      <c r="C8" s="6">
        <f t="shared" si="0"/>
        <v>14</v>
      </c>
      <c r="D8" s="3">
        <f t="shared" si="1"/>
        <v>1.2817852693698969E-2</v>
      </c>
      <c r="E8" s="3">
        <f>D8*B9</f>
        <v>1.4740530597753814</v>
      </c>
    </row>
    <row r="9" spans="1:5" x14ac:dyDescent="0.2">
      <c r="B9" s="7">
        <f>SUM(B2:B8)</f>
        <v>115</v>
      </c>
      <c r="C9" s="7">
        <f>SUM(C2:C8)</f>
        <v>432</v>
      </c>
      <c r="D9" s="3">
        <f t="shared" si="1"/>
        <v>4.5855392545211511E-3</v>
      </c>
      <c r="E9" s="3">
        <f>D9*B9</f>
        <v>0.5273370142699324</v>
      </c>
    </row>
    <row r="11" spans="1:5" x14ac:dyDescent="0.2">
      <c r="A11" s="2" t="s">
        <v>37</v>
      </c>
      <c r="B11" s="3">
        <f>C9/B9</f>
        <v>3.7565217391304349</v>
      </c>
    </row>
    <row r="12" spans="1:5" x14ac:dyDescent="0.2">
      <c r="A12" s="8" t="s">
        <v>38</v>
      </c>
      <c r="B12" s="18">
        <v>7</v>
      </c>
    </row>
    <row r="13" spans="1:5" x14ac:dyDescent="0.2">
      <c r="A13" s="19" t="s">
        <v>39</v>
      </c>
      <c r="B13" s="13">
        <f>B11/B12</f>
        <v>0.53664596273291931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D777-50F6-6645-A2EF-9BE76D41F71A}">
  <dimension ref="A1:B18"/>
  <sheetViews>
    <sheetView tabSelected="1" zoomScaleNormal="60" zoomScaleSheetLayoutView="100" workbookViewId="0">
      <selection activeCell="H36" sqref="H36"/>
    </sheetView>
  </sheetViews>
  <sheetFormatPr defaultRowHeight="15" x14ac:dyDescent="0.2"/>
  <sheetData>
    <row r="1" spans="1:2" x14ac:dyDescent="0.2">
      <c r="A1" t="s">
        <v>0</v>
      </c>
      <c r="B1" t="s">
        <v>40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15</v>
      </c>
    </row>
    <row r="4" spans="1:2" x14ac:dyDescent="0.2">
      <c r="A4">
        <v>3</v>
      </c>
      <c r="B4">
        <v>20</v>
      </c>
    </row>
    <row r="5" spans="1:2" x14ac:dyDescent="0.2">
      <c r="A5">
        <v>4</v>
      </c>
      <c r="B5">
        <v>25</v>
      </c>
    </row>
    <row r="6" spans="1:2" x14ac:dyDescent="0.2">
      <c r="A6">
        <v>5</v>
      </c>
      <c r="B6">
        <v>30</v>
      </c>
    </row>
    <row r="7" spans="1:2" x14ac:dyDescent="0.2">
      <c r="A7">
        <v>6</v>
      </c>
      <c r="B7">
        <v>35</v>
      </c>
    </row>
    <row r="8" spans="1:2" x14ac:dyDescent="0.2">
      <c r="A8">
        <v>7</v>
      </c>
      <c r="B8">
        <v>40</v>
      </c>
    </row>
    <row r="9" spans="1:2" x14ac:dyDescent="0.2">
      <c r="A9">
        <v>8</v>
      </c>
      <c r="B9">
        <v>45</v>
      </c>
    </row>
    <row r="10" spans="1:2" x14ac:dyDescent="0.2">
      <c r="A10">
        <v>9</v>
      </c>
      <c r="B10">
        <v>50</v>
      </c>
    </row>
    <row r="11" spans="1:2" x14ac:dyDescent="0.2">
      <c r="A11">
        <v>10</v>
      </c>
      <c r="B11">
        <v>55</v>
      </c>
    </row>
    <row r="12" spans="1:2" x14ac:dyDescent="0.2">
      <c r="A12">
        <v>11</v>
      </c>
      <c r="B12">
        <v>60</v>
      </c>
    </row>
    <row r="13" spans="1:2" x14ac:dyDescent="0.2">
      <c r="A13">
        <v>12</v>
      </c>
      <c r="B13">
        <v>65</v>
      </c>
    </row>
    <row r="14" spans="1:2" x14ac:dyDescent="0.2">
      <c r="A14">
        <v>13</v>
      </c>
      <c r="B14">
        <v>70</v>
      </c>
    </row>
    <row r="15" spans="1:2" x14ac:dyDescent="0.2">
      <c r="A15">
        <v>14</v>
      </c>
      <c r="B15">
        <v>75</v>
      </c>
    </row>
    <row r="16" spans="1:2" x14ac:dyDescent="0.2">
      <c r="A16">
        <v>15</v>
      </c>
      <c r="B16">
        <v>80</v>
      </c>
    </row>
    <row r="17" spans="1:2" x14ac:dyDescent="0.2">
      <c r="A17">
        <v>16</v>
      </c>
      <c r="B17">
        <v>85</v>
      </c>
    </row>
    <row r="18" spans="1:2" x14ac:dyDescent="0.2">
      <c r="A18">
        <v>17</v>
      </c>
      <c r="B18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Div, x, Max, Min, Mean &amp; Median</vt:lpstr>
      <vt:lpstr>Stem &amp; Leaf</vt:lpstr>
      <vt:lpstr>Frequency</vt:lpstr>
      <vt:lpstr>Box Plot</vt:lpstr>
      <vt:lpstr>Binomial Distribution</vt:lpstr>
      <vt:lpstr>Probability and E.F.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2026-03-11T03:14:15Z</cp:lastPrinted>
  <dcterms:created xsi:type="dcterms:W3CDTF">2026-01-21T03:22:53Z</dcterms:created>
  <dcterms:modified xsi:type="dcterms:W3CDTF">2026-03-18T03:45:35Z</dcterms:modified>
</cp:coreProperties>
</file>